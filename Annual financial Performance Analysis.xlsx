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g\Downloads\"/>
    </mc:Choice>
  </mc:AlternateContent>
  <xr:revisionPtr revIDLastSave="0" documentId="13_ncr:1_{4405BED2-0948-461E-9A5F-F8E8EF43998B}" xr6:coauthVersionLast="47" xr6:coauthVersionMax="47" xr10:uidLastSave="{00000000-0000-0000-0000-000000000000}"/>
  <bookViews>
    <workbookView xWindow="-108" yWindow="-108" windowWidth="23256" windowHeight="12456" activeTab="5" xr2:uid="{7941213D-58DA-44A0-B96A-ED012BABA5C0}"/>
  </bookViews>
  <sheets>
    <sheet name="Budget (2)" sheetId="3" r:id="rId1"/>
    <sheet name="Budget" sheetId="1" r:id="rId2"/>
    <sheet name="Actual (2)" sheetId="4" r:id="rId3"/>
    <sheet name="Actual" sheetId="2" r:id="rId4"/>
    <sheet name="Financials" sheetId="5" r:id="rId5"/>
    <sheet name="Variance analysis" sheetId="6" r:id="rId6"/>
  </sheets>
  <definedNames>
    <definedName name="ExternalData_1" localSheetId="2" hidden="1">'Actual (2)'!$A$1:$D$13</definedName>
    <definedName name="ExternalData_1" localSheetId="0" hidden="1">'Budget (2)'!$A$1:$D$13</definedName>
    <definedName name="ExternalData_2" localSheetId="4" hidden="1">Financials!$A$1:$D$25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6" l="1"/>
  <c r="L3" i="6"/>
  <c r="M2" i="6"/>
  <c r="L2" i="6"/>
  <c r="B15" i="6"/>
  <c r="F14" i="6"/>
  <c r="G14" i="6"/>
  <c r="H14" i="6" s="1"/>
  <c r="I14" i="6" s="1"/>
  <c r="C14" i="6"/>
  <c r="D14" i="6"/>
  <c r="E14" i="6"/>
  <c r="B14" i="6"/>
  <c r="I3" i="6"/>
  <c r="I4" i="6"/>
  <c r="I5" i="6"/>
  <c r="I6" i="6"/>
  <c r="I7" i="6"/>
  <c r="I8" i="6"/>
  <c r="I9" i="6"/>
  <c r="I10" i="6"/>
  <c r="I11" i="6"/>
  <c r="I12" i="6"/>
  <c r="I13" i="6"/>
  <c r="I2" i="6"/>
  <c r="H3" i="6"/>
  <c r="H4" i="6"/>
  <c r="H5" i="6"/>
  <c r="H6" i="6"/>
  <c r="H7" i="6"/>
  <c r="H8" i="6"/>
  <c r="H9" i="6"/>
  <c r="H10" i="6"/>
  <c r="H11" i="6"/>
  <c r="H12" i="6"/>
  <c r="H13" i="6"/>
  <c r="H2" i="6"/>
  <c r="G3" i="6"/>
  <c r="G4" i="6"/>
  <c r="G5" i="6"/>
  <c r="G6" i="6"/>
  <c r="G7" i="6"/>
  <c r="G8" i="6"/>
  <c r="G9" i="6"/>
  <c r="G10" i="6"/>
  <c r="G11" i="6"/>
  <c r="G12" i="6"/>
  <c r="G13" i="6"/>
  <c r="G2" i="6"/>
  <c r="F3" i="6"/>
  <c r="F4" i="6"/>
  <c r="F5" i="6"/>
  <c r="F6" i="6"/>
  <c r="F7" i="6"/>
  <c r="F8" i="6"/>
  <c r="F9" i="6"/>
  <c r="F10" i="6"/>
  <c r="F11" i="6"/>
  <c r="F12" i="6"/>
  <c r="F13" i="6"/>
  <c r="F2" i="6"/>
  <c r="E3" i="6"/>
  <c r="E4" i="6"/>
  <c r="E5" i="6"/>
  <c r="E6" i="6"/>
  <c r="E7" i="6"/>
  <c r="E8" i="6"/>
  <c r="E9" i="6"/>
  <c r="E10" i="6"/>
  <c r="E11" i="6"/>
  <c r="E12" i="6"/>
  <c r="E13" i="6"/>
  <c r="E2" i="6"/>
  <c r="D3" i="6"/>
  <c r="D4" i="6"/>
  <c r="D5" i="6"/>
  <c r="D6" i="6"/>
  <c r="D7" i="6"/>
  <c r="D8" i="6"/>
  <c r="D9" i="6"/>
  <c r="D10" i="6"/>
  <c r="D11" i="6"/>
  <c r="D12" i="6"/>
  <c r="D13" i="6"/>
  <c r="D2" i="6"/>
  <c r="C3" i="6"/>
  <c r="C4" i="6"/>
  <c r="C5" i="6"/>
  <c r="C6" i="6"/>
  <c r="C7" i="6"/>
  <c r="C8" i="6"/>
  <c r="C9" i="6"/>
  <c r="C10" i="6"/>
  <c r="C11" i="6"/>
  <c r="C12" i="6"/>
  <c r="C13" i="6"/>
  <c r="C2" i="6"/>
  <c r="B3" i="6"/>
  <c r="B4" i="6"/>
  <c r="B5" i="6"/>
  <c r="B6" i="6"/>
  <c r="B7" i="6"/>
  <c r="B8" i="6"/>
  <c r="B9" i="6"/>
  <c r="B10" i="6"/>
  <c r="B11" i="6"/>
  <c r="B12" i="6"/>
  <c r="B13" i="6"/>
  <c r="B2" i="6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FFA954-4B83-45F9-AD1F-BF3686B2D45E}" keepAlive="1" name="Query - Actual" description="Connection to the 'Actual' query in the workbook." type="5" refreshedVersion="8" background="1" saveData="1">
    <dbPr connection="Provider=Microsoft.Mashup.OleDb.1;Data Source=$Workbook$;Location=Actual;Extended Properties=&quot;&quot;" command="SELECT * FROM [Actual]"/>
  </connection>
  <connection id="2" xr16:uid="{5AF1F853-45C9-423F-967C-F3A3B5FD5D4E}" keepAlive="1" name="Query - Budget" description="Connection to the 'Budget' query in the workbook." type="5" refreshedVersion="8" background="1" saveData="1">
    <dbPr connection="Provider=Microsoft.Mashup.OleDb.1;Data Source=$Workbook$;Location=Budget;Extended Properties=&quot;&quot;" command="SELECT * FROM [Budget]"/>
  </connection>
  <connection id="3" xr16:uid="{71E5CF83-68CA-4978-B994-85235BC8D166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<sst xmlns="http://schemas.openxmlformats.org/spreadsheetml/2006/main" count="168" uniqueCount="45">
  <si>
    <t>Month</t>
  </si>
  <si>
    <t>Revenue</t>
  </si>
  <si>
    <t>Costs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</si>
  <si>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</si>
  <si>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</si>
  <si>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</si>
  <si>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</si>
  <si>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</si>
  <si>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</si>
  <si>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</si>
  <si>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</si>
  <si>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</si>
  <si>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</si>
  <si>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</si>
  <si>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</si>
  <si>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scenario</t>
  </si>
  <si>
    <t>budget</t>
  </si>
  <si>
    <t>Profit</t>
  </si>
  <si>
    <t>actual</t>
  </si>
  <si>
    <t>Budget &amp; Revenue</t>
  </si>
  <si>
    <t>Revenue Variance%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</si>
  <si>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</si>
  <si>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</si>
  <si>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</si>
  <si>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</si>
  <si>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</si>
  <si>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</si>
  <si>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</si>
  <si>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</si>
  <si>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</si>
  <si>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</si>
  <si>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</si>
  <si>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</si>
  <si>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Buget Cost</t>
  </si>
  <si>
    <t>Actual Cost</t>
  </si>
  <si>
    <t>Cost variance</t>
  </si>
  <si>
    <t>Cost variance%</t>
  </si>
  <si>
    <t>Actual_ Revenue</t>
  </si>
  <si>
    <t>Revenue_ variance</t>
  </si>
  <si>
    <t>Total</t>
  </si>
  <si>
    <t>Profit Variance</t>
  </si>
  <si>
    <t>ANNUAL FINANCIAL PERFORMANCE ANALYSIS</t>
  </si>
  <si>
    <t>metric</t>
  </si>
  <si>
    <t>Actual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</si>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</sst>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\ [$€-40C]_-;\-* #,##0\ [$€-40C]_-;_-* &quot;-&quot;\ [$€-40C]_-;_-@_-"/>
    <numFmt numFmtId="171" formatCode="_-* #,##0\ [$€-40C]_-;\-* #,##0\ [$€-40C]_-;_-* &quot;-&quot;??\ [$€-40C]_-;_-@_-"/>
  </numFmts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6"/>
      <color theme="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2" fillId="0" borderId="0" xfId="0" applyFont="1"/>
    <xf numFmtId="0" fontId="1" fillId="2" borderId="0" xfId="0" applyFont="1" applyFill="1"/>
    <xf numFmtId="10" fontId="2" fillId="0" borderId="0" xfId="0" applyNumberFormat="1" applyFont="1"/>
    <xf numFmtId="0" fontId="7" fillId="2" borderId="0" xfId="0" applyFont="1" applyFill="1"/>
    <xf numFmtId="0" fontId="3" fillId="2" borderId="0" xfId="0" applyFont="1" applyFill="1"/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/>
    <xf numFmtId="171" fontId="0" fillId="0" borderId="0" xfId="0" applyNumberFormat="1"/>
    <xf numFmtId="171" fontId="2" fillId="0" borderId="0" xfId="0" applyNumberFormat="1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Annual Budget vs Actual Performance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'Variance analysis'!$L$1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'Variance analysis'!$K$2:$K$3</c:f>
              <c:strCache>
                <c:ptCount val="2"/>
                <c:pt idx="0">
                  <c:v>Revenue</c:v>
                </c:pt>
                <c:pt idx="1">
                  <c:v>Cost</c:v>
                </c:pt>
              </c:strCache>
            </c:strRef>
          </c:cat>
          <c:val>
            <c:numRef>
              <c:f>'Variance analysis'!$L$2:$L$3</c:f>
              <c:numCache>
                <c:formatCode>_-* #,##0\ [$€-40C]_-;\-* #,##0\ [$€-40C]_-;_-* "-"\ [$€-40C]_-;_-@_-</c:formatCode>
                <c:ptCount val="2"/>
                <c:pt idx="0">
                  <c:v>172500</c:v>
                </c:pt>
                <c:pt idx="1">
                  <c:v>110900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8-42D5-BF6B-491D26A65AAE}"/>
            </c:ext>
          </c:extLst>
        </c:ser>
        <c:ser>
          <c:idx val="1"/>
          <c:order val="1"/>
          <c:tx>
            <c:strRef>
              <c:f>'Variance analysis'!$M$1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'Variance analysis'!$K$2:$K$3</c:f>
              <c:strCache>
                <c:ptCount val="2"/>
                <c:pt idx="0">
                  <c:v>Revenue</c:v>
                </c:pt>
                <c:pt idx="1">
                  <c:v>Cost</c:v>
                </c:pt>
              </c:strCache>
            </c:strRef>
          </c:cat>
          <c:val>
            <c:numRef>
              <c:f>'Variance analysis'!$M$2:$M$3</c:f>
              <c:numCache>
                <c:formatCode>_-* #,##0\ [$€-40C]_-;\-* #,##0\ [$€-40C]_-;_-* "-"\ [$€-40C]_-;_-@_-</c:formatCode>
                <c:ptCount val="2"/>
                <c:pt idx="0">
                  <c:v>177000</c:v>
                </c:pt>
                <c:pt idx="1">
                  <c:v>114100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8-42D5-BF6B-491D26A65A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7867616"/>
        <c:axId val="355214735"/>
      </c:barChart>
      <c:catAx>
        <c:axId val="15478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14735"/>
        <c:crosses val="autoZero"/>
        <c:auto val="1"/>
        <c:lblAlgn val="ctr"/>
        <c:lblOffset val="100"/>
        <c:noMultiLvlLbl val="0"/>
      </c:catAx>
      <c:valAx>
        <c:axId val="35521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 (€).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\ [$€-40C]_-;\-* #,##0\ [$€-40C]_-;_-* &quot;-&quot;\ [$€-40C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274320</xdr:colOff>
      <xdr:row>5</xdr:row>
      <xdr:rowOff>11430</xdr:rowOff>
    </xdr:from>
    <xdr:to>
      <xdr:col>16</xdr:col>
      <xdr:colOff>579120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39409-BF0C-FBFD-8543-300ACDB0F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4AA5CB-2B4C-4733-B77C-F98A5FD8087A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venue" tableColumnId="2"/>
      <queryTableField id="3" name="Costs" tableColumnId="3"/>
      <queryTableField id="4" name="scenari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ADFC2D-CEDE-4BCC-9F0C-31EED38E9F31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Revenue" tableColumnId="2"/>
      <queryTableField id="3" name="Costs" tableColumnId="3"/>
      <queryTableField id="4" name="scenari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88E642D-6201-42B7-841F-06C52911F7D6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Month" tableColumnId="1"/>
      <queryTableField id="2" name="Revenue" tableColumnId="2"/>
      <queryTableField id="3" name="Costs" tableColumnId="3"/>
      <queryTableField id="4" name="scenario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F57100-4F8E-4868-890A-FA6C4CABC45C}" name="Budget" displayName="Budget" ref="A1:D13" tableType="queryTable" totalsRowShown="0">
  <autoFilter ref="A1:D13" xr:uid="{5CF57100-4F8E-4868-890A-FA6C4CABC45C}"/>
  <tableColumns count="4">
    <tableColumn id="1" xr3:uid="{A7D7B8BC-C642-4578-8BC4-247437901C19}" uniqueName="1" name="Month" queryTableFieldId="1" dataDxfId="5"/>
    <tableColumn id="2" xr3:uid="{06013606-0D18-44E2-BA69-761FA2B14315}" uniqueName="2" name="Revenue" queryTableFieldId="2"/>
    <tableColumn id="3" xr3:uid="{233DB479-D9AD-4893-8974-F601508C9312}" uniqueName="3" name="Costs" queryTableFieldId="3"/>
    <tableColumn id="4" xr3:uid="{E4FC5D76-FADB-46CD-B2B9-0413B3CC6BE5}" uniqueName="4" name="scenario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06680-2479-4D9E-A677-00B13FC7965C}" name="BudgetData" displayName="BudgetData" ref="A1:C13" totalsRowShown="0">
  <autoFilter ref="A1:C13" xr:uid="{E0B06680-2479-4D9E-A677-00B13FC7965C}"/>
  <tableColumns count="3">
    <tableColumn id="1" xr3:uid="{61E4C91D-1871-4A9A-98C9-2A8C9D0805C8}" name="Month"/>
    <tableColumn id="2" xr3:uid="{2389ADBA-7939-4609-B17A-61325CF5DB97}" name="Revenue"/>
    <tableColumn id="3" xr3:uid="{5FEE2D2A-605D-43E0-86AE-E5642DC86FB3}" name="Cos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0C83D4-18A5-4ECA-A935-CDA0A8A94435}" name="Actual" displayName="Actual" ref="A1:D13" tableType="queryTable" totalsRowShown="0">
  <autoFilter ref="A1:D13" xr:uid="{8D0C83D4-18A5-4ECA-A935-CDA0A8A94435}"/>
  <tableColumns count="4">
    <tableColumn id="1" xr3:uid="{333060D6-200F-468E-99C2-CEEA66321E41}" uniqueName="1" name="Month" queryTableFieldId="1" dataDxfId="1"/>
    <tableColumn id="2" xr3:uid="{F8768D97-3A78-420E-B37C-0258A0381BA8}" uniqueName="2" name="Revenue" queryTableFieldId="2"/>
    <tableColumn id="3" xr3:uid="{F4110873-9213-4A6F-8A80-2AAA0DCEF93F}" uniqueName="3" name="Costs" queryTableFieldId="3"/>
    <tableColumn id="4" xr3:uid="{A7B9E255-0A87-4CD8-8799-BE032D694324}" uniqueName="4" name="scenario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14596-8DF0-4AAE-B52C-1E86CF72F762}" name="ActualData" displayName="ActualData" ref="A1:C13" totalsRowShown="0">
  <autoFilter ref="A1:C13" xr:uid="{E3414596-8DF0-4AAE-B52C-1E86CF72F762}"/>
  <tableColumns count="3">
    <tableColumn id="1" xr3:uid="{AD631EF5-7606-4763-B26B-6349161C099B}" name="Month"/>
    <tableColumn id="2" xr3:uid="{4562A406-B8B0-493E-B5C8-A6980851E83E}" name="Revenue"/>
    <tableColumn id="3" xr3:uid="{4DACEB52-28C2-432A-9945-BB0BD18E1110}" name="Cos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3866E7-7478-4E85-93A3-7B2B254F69D3}" name="Financials" displayName="Financials" ref="A1:E25" tableType="queryTable" totalsRowShown="0">
  <autoFilter ref="A1:E25" xr:uid="{DD3866E7-7478-4E85-93A3-7B2B254F69D3}"/>
  <tableColumns count="5">
    <tableColumn id="1" xr3:uid="{31222DEE-DF74-4B61-BF96-F01294070A14}" uniqueName="1" name="Month" queryTableFieldId="1" dataDxfId="3"/>
    <tableColumn id="2" xr3:uid="{11521EC2-3689-49B1-B500-F5A7517EDBD3}" uniqueName="2" name="Revenue" queryTableFieldId="2"/>
    <tableColumn id="3" xr3:uid="{E197E4ED-0C39-473D-BBEF-9DE6947DF4CA}" uniqueName="3" name="Costs" queryTableFieldId="3"/>
    <tableColumn id="4" xr3:uid="{CFA527D5-8B1B-4C24-BF84-CDCB3FFB56C9}" uniqueName="4" name="scenario" queryTableFieldId="4" dataDxfId="2"/>
    <tableColumn id="5" xr3:uid="{23E3AAE6-647D-4F58-B7EA-985AA2DF4947}" uniqueName="5" name="Profit" queryTableFieldId="5" dataDxfId="6">
      <calculatedColumnFormula>Financials[[#This Row],[Revenue]]-Financials[[#This Row],[Costs]]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B1AC-A29B-4722-AF1D-CD3A3B2C3D3D}">
  <dimension ref="A1:D13"/>
  <sheetViews>
    <sheetView workbookViewId="0"/>
  </sheetViews>
  <sheetFormatPr defaultRowHeight="14.4"/>
  <cols>
    <col min="1" max="1" width="8.33203125" bestFit="1" customWidth="1"/>
    <col min="2" max="2" width="10.21875" bestFit="1" customWidth="1"/>
    <col min="3" max="3" width="7.88671875" bestFit="1" customWidth="1"/>
    <col min="4" max="4" width="10.33203125" bestFit="1" customWidth="1"/>
  </cols>
  <sheetData>
    <row r="1" spans="1:4">
      <c r="A1" t="s">
        <v>0</v>
      </c>
      <c r="B1" t="s">
        <v>1</v>
      </c>
      <c r="C1" t="s">
        <v>2</v>
      </c>
      <c r="D1" t="s">
        <v>15</v>
      </c>
    </row>
    <row r="2" spans="1:4">
      <c r="A2" s="1" t="s">
        <v>3</v>
      </c>
      <c r="B2">
        <v>10000</v>
      </c>
      <c r="C2">
        <v>7000</v>
      </c>
      <c r="D2" s="1" t="s">
        <v>16</v>
      </c>
    </row>
    <row r="3" spans="1:4">
      <c r="A3" s="1" t="s">
        <v>4</v>
      </c>
      <c r="B3">
        <v>11000</v>
      </c>
      <c r="C3">
        <v>7500</v>
      </c>
      <c r="D3" s="1" t="s">
        <v>16</v>
      </c>
    </row>
    <row r="4" spans="1:4">
      <c r="A4" s="1" t="s">
        <v>5</v>
      </c>
      <c r="B4">
        <v>12000</v>
      </c>
      <c r="C4">
        <v>8000</v>
      </c>
      <c r="D4" s="1" t="s">
        <v>16</v>
      </c>
    </row>
    <row r="5" spans="1:4">
      <c r="A5" s="1" t="s">
        <v>6</v>
      </c>
      <c r="B5">
        <v>12000</v>
      </c>
      <c r="C5">
        <v>8200</v>
      </c>
      <c r="D5" s="1" t="s">
        <v>16</v>
      </c>
    </row>
    <row r="6" spans="1:4">
      <c r="A6" s="1" t="s">
        <v>7</v>
      </c>
      <c r="B6">
        <v>13000</v>
      </c>
      <c r="C6">
        <v>8500</v>
      </c>
      <c r="D6" s="1" t="s">
        <v>16</v>
      </c>
    </row>
    <row r="7" spans="1:4">
      <c r="A7" s="1" t="s">
        <v>8</v>
      </c>
      <c r="B7">
        <v>14000</v>
      </c>
      <c r="C7">
        <v>9000</v>
      </c>
      <c r="D7" s="1" t="s">
        <v>16</v>
      </c>
    </row>
    <row r="8" spans="1:4">
      <c r="A8" s="1" t="s">
        <v>9</v>
      </c>
      <c r="B8">
        <v>15000</v>
      </c>
      <c r="C8">
        <v>9500</v>
      </c>
      <c r="D8" s="1" t="s">
        <v>16</v>
      </c>
    </row>
    <row r="9" spans="1:4">
      <c r="A9" s="1" t="s">
        <v>10</v>
      </c>
      <c r="B9">
        <v>14500</v>
      </c>
      <c r="C9">
        <v>9200</v>
      </c>
      <c r="D9" s="1" t="s">
        <v>16</v>
      </c>
    </row>
    <row r="10" spans="1:4">
      <c r="A10" s="1" t="s">
        <v>11</v>
      </c>
      <c r="B10">
        <v>16000</v>
      </c>
      <c r="C10">
        <v>10000</v>
      </c>
      <c r="D10" s="1" t="s">
        <v>16</v>
      </c>
    </row>
    <row r="11" spans="1:4">
      <c r="A11" s="1" t="s">
        <v>12</v>
      </c>
      <c r="B11">
        <v>17000</v>
      </c>
      <c r="C11">
        <v>10500</v>
      </c>
      <c r="D11" s="1" t="s">
        <v>16</v>
      </c>
    </row>
    <row r="12" spans="1:4">
      <c r="A12" s="1" t="s">
        <v>13</v>
      </c>
      <c r="B12">
        <v>18000</v>
      </c>
      <c r="C12">
        <v>11000</v>
      </c>
      <c r="D12" s="1" t="s">
        <v>16</v>
      </c>
    </row>
    <row r="13" spans="1:4">
      <c r="A13" s="1" t="s">
        <v>14</v>
      </c>
      <c r="B13">
        <v>20000</v>
      </c>
      <c r="C13">
        <v>12500</v>
      </c>
      <c r="D13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E9E3-1588-4549-9E67-3DFBC6A36C79}">
  <dimension ref="A1:C13"/>
  <sheetViews>
    <sheetView workbookViewId="0">
      <selection activeCell="A3" sqref="A3"/>
    </sheetView>
  </sheetViews>
  <sheetFormatPr defaultRowHeight="14.4"/>
  <cols>
    <col min="2" max="2" width="9.886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10000</v>
      </c>
      <c r="C2">
        <v>7000</v>
      </c>
    </row>
    <row r="3" spans="1:3">
      <c r="A3" t="s">
        <v>4</v>
      </c>
      <c r="B3">
        <v>11000</v>
      </c>
      <c r="C3">
        <v>7500</v>
      </c>
    </row>
    <row r="4" spans="1:3">
      <c r="A4" t="s">
        <v>5</v>
      </c>
      <c r="B4">
        <v>12000</v>
      </c>
      <c r="C4">
        <v>8000</v>
      </c>
    </row>
    <row r="5" spans="1:3">
      <c r="A5" t="s">
        <v>6</v>
      </c>
      <c r="B5">
        <v>12000</v>
      </c>
      <c r="C5">
        <v>8200</v>
      </c>
    </row>
    <row r="6" spans="1:3">
      <c r="A6" t="s">
        <v>7</v>
      </c>
      <c r="B6">
        <v>13000</v>
      </c>
      <c r="C6">
        <v>8500</v>
      </c>
    </row>
    <row r="7" spans="1:3">
      <c r="A7" t="s">
        <v>8</v>
      </c>
      <c r="B7">
        <v>14000</v>
      </c>
      <c r="C7">
        <v>9000</v>
      </c>
    </row>
    <row r="8" spans="1:3">
      <c r="A8" t="s">
        <v>9</v>
      </c>
      <c r="B8">
        <v>15000</v>
      </c>
      <c r="C8">
        <v>9500</v>
      </c>
    </row>
    <row r="9" spans="1:3">
      <c r="A9" t="s">
        <v>10</v>
      </c>
      <c r="B9">
        <v>14500</v>
      </c>
      <c r="C9">
        <v>9200</v>
      </c>
    </row>
    <row r="10" spans="1:3">
      <c r="A10" t="s">
        <v>11</v>
      </c>
      <c r="B10">
        <v>16000</v>
      </c>
      <c r="C10">
        <v>10000</v>
      </c>
    </row>
    <row r="11" spans="1:3">
      <c r="A11" t="s">
        <v>12</v>
      </c>
      <c r="B11">
        <v>17000</v>
      </c>
      <c r="C11">
        <v>10500</v>
      </c>
    </row>
    <row r="12" spans="1:3">
      <c r="A12" t="s">
        <v>13</v>
      </c>
      <c r="B12">
        <v>18000</v>
      </c>
      <c r="C12">
        <v>11000</v>
      </c>
    </row>
    <row r="13" spans="1:3">
      <c r="A13" t="s">
        <v>14</v>
      </c>
      <c r="B13">
        <v>20000</v>
      </c>
      <c r="C13">
        <v>12500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64DCF-BC61-4BBD-80D8-FB584DA7E8FD}">
  <dimension ref="A1:D13"/>
  <sheetViews>
    <sheetView workbookViewId="0">
      <selection sqref="A1:D13"/>
    </sheetView>
  </sheetViews>
  <sheetFormatPr defaultRowHeight="14.4"/>
  <cols>
    <col min="1" max="1" width="8.33203125" bestFit="1" customWidth="1"/>
    <col min="2" max="2" width="10.21875" bestFit="1" customWidth="1"/>
    <col min="3" max="3" width="7.88671875" bestFit="1" customWidth="1"/>
    <col min="4" max="4" width="10.33203125" bestFit="1" customWidth="1"/>
  </cols>
  <sheetData>
    <row r="1" spans="1:4">
      <c r="A1" t="s">
        <v>0</v>
      </c>
      <c r="B1" t="s">
        <v>1</v>
      </c>
      <c r="C1" t="s">
        <v>2</v>
      </c>
      <c r="D1" t="s">
        <v>15</v>
      </c>
    </row>
    <row r="2" spans="1:4">
      <c r="A2" s="1" t="s">
        <v>3</v>
      </c>
      <c r="B2">
        <v>9000</v>
      </c>
      <c r="C2">
        <v>7200</v>
      </c>
      <c r="D2" s="1" t="s">
        <v>18</v>
      </c>
    </row>
    <row r="3" spans="1:4">
      <c r="A3" s="1" t="s">
        <v>4</v>
      </c>
      <c r="B3">
        <v>12000</v>
      </c>
      <c r="C3">
        <v>7800</v>
      </c>
      <c r="D3" s="1" t="s">
        <v>18</v>
      </c>
    </row>
    <row r="4" spans="1:4">
      <c r="A4" s="1" t="s">
        <v>5</v>
      </c>
      <c r="B4">
        <v>11000</v>
      </c>
      <c r="C4">
        <v>8500</v>
      </c>
      <c r="D4" s="1" t="s">
        <v>18</v>
      </c>
    </row>
    <row r="5" spans="1:4">
      <c r="A5" s="1" t="s">
        <v>6</v>
      </c>
      <c r="B5">
        <v>13500</v>
      </c>
      <c r="C5">
        <v>8000</v>
      </c>
      <c r="D5" s="1" t="s">
        <v>18</v>
      </c>
    </row>
    <row r="6" spans="1:4">
      <c r="A6" s="1" t="s">
        <v>7</v>
      </c>
      <c r="B6">
        <v>12500</v>
      </c>
      <c r="C6">
        <v>8800</v>
      </c>
      <c r="D6" s="1" t="s">
        <v>18</v>
      </c>
    </row>
    <row r="7" spans="1:4">
      <c r="A7" s="1" t="s">
        <v>8</v>
      </c>
      <c r="B7">
        <v>15000</v>
      </c>
      <c r="C7">
        <v>9200</v>
      </c>
      <c r="D7" s="1" t="s">
        <v>18</v>
      </c>
    </row>
    <row r="8" spans="1:4">
      <c r="A8" s="1" t="s">
        <v>9</v>
      </c>
      <c r="B8">
        <v>14500</v>
      </c>
      <c r="C8">
        <v>9800</v>
      </c>
      <c r="D8" s="1" t="s">
        <v>18</v>
      </c>
    </row>
    <row r="9" spans="1:4">
      <c r="A9" s="1" t="s">
        <v>10</v>
      </c>
      <c r="B9">
        <v>15500</v>
      </c>
      <c r="C9">
        <v>9000</v>
      </c>
      <c r="D9" s="1" t="s">
        <v>18</v>
      </c>
    </row>
    <row r="10" spans="1:4">
      <c r="A10" s="1" t="s">
        <v>11</v>
      </c>
      <c r="B10">
        <v>17000</v>
      </c>
      <c r="C10">
        <v>10500</v>
      </c>
      <c r="D10" s="1" t="s">
        <v>18</v>
      </c>
    </row>
    <row r="11" spans="1:4">
      <c r="A11" s="1" t="s">
        <v>12</v>
      </c>
      <c r="B11">
        <v>16500</v>
      </c>
      <c r="C11">
        <v>10800</v>
      </c>
      <c r="D11" s="1" t="s">
        <v>18</v>
      </c>
    </row>
    <row r="12" spans="1:4">
      <c r="A12" s="1" t="s">
        <v>13</v>
      </c>
      <c r="B12">
        <v>19000</v>
      </c>
      <c r="C12">
        <v>11500</v>
      </c>
      <c r="D12" s="1" t="s">
        <v>18</v>
      </c>
    </row>
    <row r="13" spans="1:4">
      <c r="A13" s="1" t="s">
        <v>14</v>
      </c>
      <c r="B13">
        <v>21500</v>
      </c>
      <c r="C13">
        <v>13000</v>
      </c>
      <c r="D13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C9BC-1D14-4F99-B5AF-7B46AB908170}">
  <dimension ref="A1:C13"/>
  <sheetViews>
    <sheetView workbookViewId="0">
      <selection activeCell="A2" sqref="A2"/>
    </sheetView>
  </sheetViews>
  <sheetFormatPr defaultRowHeight="14.4"/>
  <cols>
    <col min="2" max="2" width="9.886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9000</v>
      </c>
      <c r="C2">
        <v>7200</v>
      </c>
    </row>
    <row r="3" spans="1:3">
      <c r="A3" t="s">
        <v>4</v>
      </c>
      <c r="B3">
        <v>12000</v>
      </c>
      <c r="C3">
        <v>7800</v>
      </c>
    </row>
    <row r="4" spans="1:3">
      <c r="A4" t="s">
        <v>5</v>
      </c>
      <c r="B4">
        <v>11000</v>
      </c>
      <c r="C4">
        <v>8500</v>
      </c>
    </row>
    <row r="5" spans="1:3">
      <c r="A5" t="s">
        <v>6</v>
      </c>
      <c r="B5">
        <v>13500</v>
      </c>
      <c r="C5">
        <v>8000</v>
      </c>
    </row>
    <row r="6" spans="1:3">
      <c r="A6" t="s">
        <v>7</v>
      </c>
      <c r="B6">
        <v>12500</v>
      </c>
      <c r="C6">
        <v>8800</v>
      </c>
    </row>
    <row r="7" spans="1:3">
      <c r="A7" t="s">
        <v>8</v>
      </c>
      <c r="B7">
        <v>15000</v>
      </c>
      <c r="C7">
        <v>9200</v>
      </c>
    </row>
    <row r="8" spans="1:3">
      <c r="A8" t="s">
        <v>9</v>
      </c>
      <c r="B8">
        <v>14500</v>
      </c>
      <c r="C8">
        <v>9800</v>
      </c>
    </row>
    <row r="9" spans="1:3">
      <c r="A9" t="s">
        <v>10</v>
      </c>
      <c r="B9">
        <v>15500</v>
      </c>
      <c r="C9">
        <v>9000</v>
      </c>
    </row>
    <row r="10" spans="1:3">
      <c r="A10" t="s">
        <v>11</v>
      </c>
      <c r="B10">
        <v>17000</v>
      </c>
      <c r="C10">
        <v>10500</v>
      </c>
    </row>
    <row r="11" spans="1:3">
      <c r="A11" t="s">
        <v>12</v>
      </c>
      <c r="B11">
        <v>16500</v>
      </c>
      <c r="C11">
        <v>10800</v>
      </c>
    </row>
    <row r="12" spans="1:3">
      <c r="A12" t="s">
        <v>13</v>
      </c>
      <c r="B12">
        <v>19000</v>
      </c>
      <c r="C12">
        <v>11500</v>
      </c>
    </row>
    <row r="13" spans="1:3">
      <c r="A13" t="s">
        <v>14</v>
      </c>
      <c r="B13">
        <v>21500</v>
      </c>
      <c r="C13">
        <v>13000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2A13-0671-4C6E-82DE-EA8DA14A80A7}">
  <dimension ref="A1:E25"/>
  <sheetViews>
    <sheetView workbookViewId="0">
      <selection activeCell="E14" sqref="E14"/>
    </sheetView>
  </sheetViews>
  <sheetFormatPr defaultRowHeight="14.4"/>
  <cols>
    <col min="1" max="1" width="8.33203125" bestFit="1" customWidth="1"/>
    <col min="2" max="2" width="10.21875" bestFit="1" customWidth="1"/>
    <col min="3" max="3" width="7.88671875" bestFit="1" customWidth="1"/>
    <col min="4" max="4" width="10.33203125" bestFit="1" customWidth="1"/>
    <col min="5" max="5" width="7.77734375" bestFit="1" customWidth="1"/>
  </cols>
  <sheetData>
    <row r="1" spans="1:5">
      <c r="A1" t="s">
        <v>0</v>
      </c>
      <c r="B1" t="s">
        <v>1</v>
      </c>
      <c r="C1" t="s">
        <v>2</v>
      </c>
      <c r="D1" t="s">
        <v>15</v>
      </c>
      <c r="E1" t="s">
        <v>17</v>
      </c>
    </row>
    <row r="2" spans="1:5">
      <c r="A2" s="1" t="s">
        <v>3</v>
      </c>
      <c r="B2">
        <v>10000</v>
      </c>
      <c r="C2">
        <v>7000</v>
      </c>
      <c r="D2" s="1" t="s">
        <v>16</v>
      </c>
      <c r="E2">
        <f>Financials[[#This Row],[Revenue]]-Financials[[#This Row],[Costs]]</f>
        <v>3000</v>
      </c>
    </row>
    <row r="3" spans="1:5">
      <c r="A3" s="1" t="s">
        <v>4</v>
      </c>
      <c r="B3">
        <v>11000</v>
      </c>
      <c r="C3">
        <v>7500</v>
      </c>
      <c r="D3" s="1" t="s">
        <v>16</v>
      </c>
      <c r="E3">
        <f>Financials[[#This Row],[Revenue]]-Financials[[#This Row],[Costs]]</f>
        <v>3500</v>
      </c>
    </row>
    <row r="4" spans="1:5">
      <c r="A4" s="1" t="s">
        <v>5</v>
      </c>
      <c r="B4">
        <v>12000</v>
      </c>
      <c r="C4">
        <v>8000</v>
      </c>
      <c r="D4" s="1" t="s">
        <v>16</v>
      </c>
      <c r="E4">
        <f>Financials[[#This Row],[Revenue]]-Financials[[#This Row],[Costs]]</f>
        <v>4000</v>
      </c>
    </row>
    <row r="5" spans="1:5">
      <c r="A5" s="1" t="s">
        <v>6</v>
      </c>
      <c r="B5">
        <v>12000</v>
      </c>
      <c r="C5">
        <v>8200</v>
      </c>
      <c r="D5" s="1" t="s">
        <v>16</v>
      </c>
      <c r="E5">
        <f>Financials[[#This Row],[Revenue]]-Financials[[#This Row],[Costs]]</f>
        <v>3800</v>
      </c>
    </row>
    <row r="6" spans="1:5">
      <c r="A6" s="1" t="s">
        <v>7</v>
      </c>
      <c r="B6">
        <v>13000</v>
      </c>
      <c r="C6">
        <v>8500</v>
      </c>
      <c r="D6" s="1" t="s">
        <v>16</v>
      </c>
      <c r="E6">
        <f>Financials[[#This Row],[Revenue]]-Financials[[#This Row],[Costs]]</f>
        <v>4500</v>
      </c>
    </row>
    <row r="7" spans="1:5">
      <c r="A7" s="1" t="s">
        <v>8</v>
      </c>
      <c r="B7">
        <v>14000</v>
      </c>
      <c r="C7">
        <v>9000</v>
      </c>
      <c r="D7" s="1" t="s">
        <v>16</v>
      </c>
      <c r="E7">
        <f>Financials[[#This Row],[Revenue]]-Financials[[#This Row],[Costs]]</f>
        <v>5000</v>
      </c>
    </row>
    <row r="8" spans="1:5">
      <c r="A8" s="1" t="s">
        <v>9</v>
      </c>
      <c r="B8">
        <v>15000</v>
      </c>
      <c r="C8">
        <v>9500</v>
      </c>
      <c r="D8" s="1" t="s">
        <v>16</v>
      </c>
      <c r="E8">
        <f>Financials[[#This Row],[Revenue]]-Financials[[#This Row],[Costs]]</f>
        <v>5500</v>
      </c>
    </row>
    <row r="9" spans="1:5">
      <c r="A9" s="1" t="s">
        <v>10</v>
      </c>
      <c r="B9">
        <v>14500</v>
      </c>
      <c r="C9">
        <v>9200</v>
      </c>
      <c r="D9" s="1" t="s">
        <v>16</v>
      </c>
      <c r="E9">
        <f>Financials[[#This Row],[Revenue]]-Financials[[#This Row],[Costs]]</f>
        <v>5300</v>
      </c>
    </row>
    <row r="10" spans="1:5">
      <c r="A10" s="1" t="s">
        <v>11</v>
      </c>
      <c r="B10">
        <v>16000</v>
      </c>
      <c r="C10">
        <v>10000</v>
      </c>
      <c r="D10" s="1" t="s">
        <v>16</v>
      </c>
      <c r="E10">
        <f>Financials[[#This Row],[Revenue]]-Financials[[#This Row],[Costs]]</f>
        <v>6000</v>
      </c>
    </row>
    <row r="11" spans="1:5">
      <c r="A11" s="1" t="s">
        <v>12</v>
      </c>
      <c r="B11">
        <v>17000</v>
      </c>
      <c r="C11">
        <v>10500</v>
      </c>
      <c r="D11" s="1" t="s">
        <v>16</v>
      </c>
      <c r="E11">
        <f>Financials[[#This Row],[Revenue]]-Financials[[#This Row],[Costs]]</f>
        <v>6500</v>
      </c>
    </row>
    <row r="12" spans="1:5">
      <c r="A12" s="1" t="s">
        <v>13</v>
      </c>
      <c r="B12">
        <v>18000</v>
      </c>
      <c r="C12">
        <v>11000</v>
      </c>
      <c r="D12" s="1" t="s">
        <v>16</v>
      </c>
      <c r="E12">
        <f>Financials[[#This Row],[Revenue]]-Financials[[#This Row],[Costs]]</f>
        <v>7000</v>
      </c>
    </row>
    <row r="13" spans="1:5">
      <c r="A13" s="1" t="s">
        <v>14</v>
      </c>
      <c r="B13">
        <v>20000</v>
      </c>
      <c r="C13">
        <v>12500</v>
      </c>
      <c r="D13" s="1" t="s">
        <v>16</v>
      </c>
      <c r="E13">
        <f>Financials[[#This Row],[Revenue]]-Financials[[#This Row],[Costs]]</f>
        <v>7500</v>
      </c>
    </row>
    <row r="14" spans="1:5">
      <c r="A14" s="1" t="s">
        <v>3</v>
      </c>
      <c r="B14">
        <v>9000</v>
      </c>
      <c r="C14">
        <v>7200</v>
      </c>
      <c r="D14" s="1" t="s">
        <v>18</v>
      </c>
      <c r="E14">
        <f>Financials[[#This Row],[Revenue]]-Financials[[#This Row],[Costs]]</f>
        <v>1800</v>
      </c>
    </row>
    <row r="15" spans="1:5">
      <c r="A15" s="1" t="s">
        <v>4</v>
      </c>
      <c r="B15">
        <v>12000</v>
      </c>
      <c r="C15">
        <v>7800</v>
      </c>
      <c r="D15" s="1" t="s">
        <v>18</v>
      </c>
      <c r="E15">
        <f>Financials[[#This Row],[Revenue]]-Financials[[#This Row],[Costs]]</f>
        <v>4200</v>
      </c>
    </row>
    <row r="16" spans="1:5">
      <c r="A16" s="1" t="s">
        <v>5</v>
      </c>
      <c r="B16">
        <v>11000</v>
      </c>
      <c r="C16">
        <v>8500</v>
      </c>
      <c r="D16" s="1" t="s">
        <v>18</v>
      </c>
      <c r="E16">
        <f>Financials[[#This Row],[Revenue]]-Financials[[#This Row],[Costs]]</f>
        <v>2500</v>
      </c>
    </row>
    <row r="17" spans="1:5">
      <c r="A17" s="1" t="s">
        <v>6</v>
      </c>
      <c r="B17">
        <v>13500</v>
      </c>
      <c r="C17">
        <v>8000</v>
      </c>
      <c r="D17" s="1" t="s">
        <v>18</v>
      </c>
      <c r="E17">
        <f>Financials[[#This Row],[Revenue]]-Financials[[#This Row],[Costs]]</f>
        <v>5500</v>
      </c>
    </row>
    <row r="18" spans="1:5">
      <c r="A18" s="1" t="s">
        <v>7</v>
      </c>
      <c r="B18">
        <v>12500</v>
      </c>
      <c r="C18">
        <v>8800</v>
      </c>
      <c r="D18" s="1" t="s">
        <v>18</v>
      </c>
      <c r="E18">
        <f>Financials[[#This Row],[Revenue]]-Financials[[#This Row],[Costs]]</f>
        <v>3700</v>
      </c>
    </row>
    <row r="19" spans="1:5">
      <c r="A19" s="1" t="s">
        <v>8</v>
      </c>
      <c r="B19">
        <v>15000</v>
      </c>
      <c r="C19">
        <v>9200</v>
      </c>
      <c r="D19" s="1" t="s">
        <v>18</v>
      </c>
      <c r="E19">
        <f>Financials[[#This Row],[Revenue]]-Financials[[#This Row],[Costs]]</f>
        <v>5800</v>
      </c>
    </row>
    <row r="20" spans="1:5">
      <c r="A20" s="1" t="s">
        <v>9</v>
      </c>
      <c r="B20">
        <v>14500</v>
      </c>
      <c r="C20">
        <v>9800</v>
      </c>
      <c r="D20" s="1" t="s">
        <v>18</v>
      </c>
      <c r="E20">
        <f>Financials[[#This Row],[Revenue]]-Financials[[#This Row],[Costs]]</f>
        <v>4700</v>
      </c>
    </row>
    <row r="21" spans="1:5">
      <c r="A21" s="1" t="s">
        <v>10</v>
      </c>
      <c r="B21">
        <v>15500</v>
      </c>
      <c r="C21">
        <v>9000</v>
      </c>
      <c r="D21" s="1" t="s">
        <v>18</v>
      </c>
      <c r="E21">
        <f>Financials[[#This Row],[Revenue]]-Financials[[#This Row],[Costs]]</f>
        <v>6500</v>
      </c>
    </row>
    <row r="22" spans="1:5">
      <c r="A22" s="1" t="s">
        <v>11</v>
      </c>
      <c r="B22">
        <v>17000</v>
      </c>
      <c r="C22">
        <v>10500</v>
      </c>
      <c r="D22" s="1" t="s">
        <v>18</v>
      </c>
      <c r="E22">
        <f>Financials[[#This Row],[Revenue]]-Financials[[#This Row],[Costs]]</f>
        <v>6500</v>
      </c>
    </row>
    <row r="23" spans="1:5">
      <c r="A23" s="1" t="s">
        <v>12</v>
      </c>
      <c r="B23">
        <v>16500</v>
      </c>
      <c r="C23">
        <v>10800</v>
      </c>
      <c r="D23" s="1" t="s">
        <v>18</v>
      </c>
      <c r="E23">
        <f>Financials[[#This Row],[Revenue]]-Financials[[#This Row],[Costs]]</f>
        <v>5700</v>
      </c>
    </row>
    <row r="24" spans="1:5">
      <c r="A24" s="1" t="s">
        <v>13</v>
      </c>
      <c r="B24">
        <v>19000</v>
      </c>
      <c r="C24">
        <v>11500</v>
      </c>
      <c r="D24" s="1" t="s">
        <v>18</v>
      </c>
      <c r="E24">
        <f>Financials[[#This Row],[Revenue]]-Financials[[#This Row],[Costs]]</f>
        <v>7500</v>
      </c>
    </row>
    <row r="25" spans="1:5">
      <c r="A25" s="1" t="s">
        <v>14</v>
      </c>
      <c r="B25">
        <v>21500</v>
      </c>
      <c r="C25">
        <v>13000</v>
      </c>
      <c r="D25" s="1" t="s">
        <v>18</v>
      </c>
      <c r="E25">
        <f>Financials[[#This Row],[Revenue]]-Financials[[#This Row],[Costs]]</f>
        <v>8500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E924-6188-45DE-A06C-96BADDCCF024}">
  <dimension ref="A1:M17"/>
  <sheetViews>
    <sheetView tabSelected="1" workbookViewId="0">
      <selection activeCell="G21" sqref="G21"/>
    </sheetView>
  </sheetViews>
  <sheetFormatPr defaultRowHeight="14.4"/>
  <cols>
    <col min="1" max="1" width="13.33203125" bestFit="1" customWidth="1"/>
    <col min="2" max="2" width="15.77734375" bestFit="1" customWidth="1"/>
    <col min="3" max="3" width="14.5546875" bestFit="1" customWidth="1"/>
    <col min="4" max="4" width="16.33203125" bestFit="1" customWidth="1"/>
    <col min="5" max="5" width="17.44140625" bestFit="1" customWidth="1"/>
    <col min="6" max="6" width="10.21875" bestFit="1" customWidth="1"/>
    <col min="7" max="7" width="10.44140625" bestFit="1" customWidth="1"/>
    <col min="8" max="8" width="12.21875" bestFit="1" customWidth="1"/>
    <col min="9" max="9" width="13.88671875" bestFit="1" customWidth="1"/>
    <col min="12" max="13" width="10.21875" bestFit="1" customWidth="1"/>
  </cols>
  <sheetData>
    <row r="1" spans="1:13">
      <c r="A1" s="5" t="s">
        <v>0</v>
      </c>
      <c r="B1" s="5" t="s">
        <v>19</v>
      </c>
      <c r="C1" s="5" t="s">
        <v>37</v>
      </c>
      <c r="D1" s="5" t="s">
        <v>38</v>
      </c>
      <c r="E1" s="5" t="s">
        <v>20</v>
      </c>
      <c r="F1" s="5" t="s">
        <v>33</v>
      </c>
      <c r="G1" s="5" t="s">
        <v>34</v>
      </c>
      <c r="H1" s="5" t="s">
        <v>35</v>
      </c>
      <c r="I1" s="5" t="s">
        <v>36</v>
      </c>
      <c r="K1" s="5" t="s">
        <v>42</v>
      </c>
      <c r="L1" s="5" t="s">
        <v>16</v>
      </c>
      <c r="M1" s="5" t="s">
        <v>43</v>
      </c>
    </row>
    <row r="2" spans="1:13">
      <c r="A2" s="2" t="s">
        <v>21</v>
      </c>
      <c r="B2" s="2">
        <f>SUMIFS(Financials[Revenue],Financials[Month],A2,Financials[scenario],"Budget")</f>
        <v>10000</v>
      </c>
      <c r="C2" s="2">
        <f>SUMIFS(Financials[Revenue],Financials[Month],A2,Financials[scenario],"actual")</f>
        <v>9000</v>
      </c>
      <c r="D2" s="2">
        <f>C2-B2</f>
        <v>-1000</v>
      </c>
      <c r="E2" s="3">
        <f>IFERROR(D2/B2,0)</f>
        <v>-0.1</v>
      </c>
      <c r="F2" s="2">
        <f>SUMIFS(Financials[Costs],Financials[Month],A2,Financials[scenario],"Budget")</f>
        <v>7000</v>
      </c>
      <c r="G2" s="9">
        <f>SUMIFS(Financials[Costs],Financials[Month],A2,Financials[scenario],"Actual")</f>
        <v>7200</v>
      </c>
      <c r="H2" s="12">
        <f>G2-F2</f>
        <v>200</v>
      </c>
      <c r="I2" s="3">
        <f>IFERROR(H2/F2,0)</f>
        <v>2.8571428571428571E-2</v>
      </c>
      <c r="K2" t="s">
        <v>1</v>
      </c>
      <c r="L2" s="2">
        <f>B14</f>
        <v>172500</v>
      </c>
      <c r="M2" s="2">
        <f>C14</f>
        <v>177000</v>
      </c>
    </row>
    <row r="3" spans="1:13">
      <c r="A3" s="2" t="s">
        <v>22</v>
      </c>
      <c r="B3" s="2">
        <f>SUMIFS(Financials[Revenue],Financials[Month],A3,Financials[scenario],"Budget")</f>
        <v>11000</v>
      </c>
      <c r="C3" s="2">
        <f>SUMIFS(Financials[Revenue],Financials[Month],A3,Financials[scenario],"actual")</f>
        <v>12000</v>
      </c>
      <c r="D3" s="2">
        <f t="shared" ref="D3:D14" si="0">C3-B3</f>
        <v>1000</v>
      </c>
      <c r="E3" s="3">
        <f t="shared" ref="E3:E14" si="1">IFERROR(D3/B3,0)</f>
        <v>9.0909090909090912E-2</v>
      </c>
      <c r="F3" s="2">
        <f>SUMIFS(Financials[Costs],Financials[Month],A3,Financials[scenario],"Budget")</f>
        <v>7500</v>
      </c>
      <c r="G3" s="9">
        <f>SUMIFS(Financials[Costs],Financials[Month],A3,Financials[scenario],"Actual")</f>
        <v>7800</v>
      </c>
      <c r="H3" s="12">
        <f t="shared" ref="H3:H14" si="2">G3-F3</f>
        <v>300</v>
      </c>
      <c r="I3" s="3">
        <f t="shared" ref="I3:I14" si="3">IFERROR(H3/F3,0)</f>
        <v>0.04</v>
      </c>
      <c r="K3" t="s">
        <v>44</v>
      </c>
      <c r="L3" s="2">
        <f>F14</f>
        <v>110900</v>
      </c>
      <c r="M3" s="2">
        <f>G14</f>
        <v>114100</v>
      </c>
    </row>
    <row r="4" spans="1:13">
      <c r="A4" s="2" t="s">
        <v>23</v>
      </c>
      <c r="B4" s="2">
        <f>SUMIFS(Financials[Revenue],Financials[Month],A4,Financials[scenario],"Budget")</f>
        <v>12000</v>
      </c>
      <c r="C4" s="2">
        <f>SUMIFS(Financials[Revenue],Financials[Month],A4,Financials[scenario],"actual")</f>
        <v>11000</v>
      </c>
      <c r="D4" s="2">
        <f t="shared" si="0"/>
        <v>-1000</v>
      </c>
      <c r="E4" s="3">
        <f t="shared" si="1"/>
        <v>-8.3333333333333329E-2</v>
      </c>
      <c r="F4" s="2">
        <f>SUMIFS(Financials[Costs],Financials[Month],A4,Financials[scenario],"Budget")</f>
        <v>8000</v>
      </c>
      <c r="G4" s="9">
        <f>SUMIFS(Financials[Costs],Financials[Month],A4,Financials[scenario],"Actual")</f>
        <v>8500</v>
      </c>
      <c r="H4" s="12">
        <f t="shared" si="2"/>
        <v>500</v>
      </c>
      <c r="I4" s="3">
        <f t="shared" si="3"/>
        <v>6.25E-2</v>
      </c>
    </row>
    <row r="5" spans="1:13">
      <c r="A5" s="2" t="s">
        <v>24</v>
      </c>
      <c r="B5" s="2">
        <f>SUMIFS(Financials[Revenue],Financials[Month],A5,Financials[scenario],"Budget")</f>
        <v>12000</v>
      </c>
      <c r="C5" s="2">
        <f>SUMIFS(Financials[Revenue],Financials[Month],A5,Financials[scenario],"actual")</f>
        <v>13500</v>
      </c>
      <c r="D5" s="2">
        <f t="shared" si="0"/>
        <v>1500</v>
      </c>
      <c r="E5" s="3">
        <f t="shared" si="1"/>
        <v>0.125</v>
      </c>
      <c r="F5" s="2">
        <f>SUMIFS(Financials[Costs],Financials[Month],A5,Financials[scenario],"Budget")</f>
        <v>8200</v>
      </c>
      <c r="G5" s="9">
        <f>SUMIFS(Financials[Costs],Financials[Month],A5,Financials[scenario],"Actual")</f>
        <v>8000</v>
      </c>
      <c r="H5" s="12">
        <f t="shared" si="2"/>
        <v>-200</v>
      </c>
      <c r="I5" s="3">
        <f t="shared" si="3"/>
        <v>-2.4390243902439025E-2</v>
      </c>
    </row>
    <row r="6" spans="1:13">
      <c r="A6" s="2" t="s">
        <v>25</v>
      </c>
      <c r="B6" s="2">
        <f>SUMIFS(Financials[Revenue],Financials[Month],A6,Financials[scenario],"Budget")</f>
        <v>13000</v>
      </c>
      <c r="C6" s="2">
        <f>SUMIFS(Financials[Revenue],Financials[Month],A6,Financials[scenario],"actual")</f>
        <v>12500</v>
      </c>
      <c r="D6" s="2">
        <f t="shared" si="0"/>
        <v>-500</v>
      </c>
      <c r="E6" s="3">
        <f t="shared" si="1"/>
        <v>-3.8461538461538464E-2</v>
      </c>
      <c r="F6" s="2">
        <f>SUMIFS(Financials[Costs],Financials[Month],A6,Financials[scenario],"Budget")</f>
        <v>8500</v>
      </c>
      <c r="G6" s="9">
        <f>SUMIFS(Financials[Costs],Financials[Month],A6,Financials[scenario],"Actual")</f>
        <v>8800</v>
      </c>
      <c r="H6" s="12">
        <f t="shared" si="2"/>
        <v>300</v>
      </c>
      <c r="I6" s="3">
        <f t="shared" si="3"/>
        <v>3.5294117647058823E-2</v>
      </c>
    </row>
    <row r="7" spans="1:13">
      <c r="A7" s="2" t="s">
        <v>26</v>
      </c>
      <c r="B7" s="2">
        <f>SUMIFS(Financials[Revenue],Financials[Month],A7,Financials[scenario],"Budget")</f>
        <v>14000</v>
      </c>
      <c r="C7" s="2">
        <f>SUMIFS(Financials[Revenue],Financials[Month],A7,Financials[scenario],"actual")</f>
        <v>15000</v>
      </c>
      <c r="D7" s="2">
        <f t="shared" si="0"/>
        <v>1000</v>
      </c>
      <c r="E7" s="3">
        <f t="shared" si="1"/>
        <v>7.1428571428571425E-2</v>
      </c>
      <c r="F7" s="2">
        <f>SUMIFS(Financials[Costs],Financials[Month],A7,Financials[scenario],"Budget")</f>
        <v>9000</v>
      </c>
      <c r="G7" s="9">
        <f>SUMIFS(Financials[Costs],Financials[Month],A7,Financials[scenario],"Actual")</f>
        <v>9200</v>
      </c>
      <c r="H7" s="12">
        <f t="shared" si="2"/>
        <v>200</v>
      </c>
      <c r="I7" s="3">
        <f t="shared" si="3"/>
        <v>2.2222222222222223E-2</v>
      </c>
    </row>
    <row r="8" spans="1:13">
      <c r="A8" s="2" t="s">
        <v>27</v>
      </c>
      <c r="B8" s="2">
        <f>SUMIFS(Financials[Revenue],Financials[Month],A8,Financials[scenario],"Budget")</f>
        <v>15000</v>
      </c>
      <c r="C8" s="2">
        <f>SUMIFS(Financials[Revenue],Financials[Month],A8,Financials[scenario],"actual")</f>
        <v>14500</v>
      </c>
      <c r="D8" s="2">
        <f t="shared" si="0"/>
        <v>-500</v>
      </c>
      <c r="E8" s="3">
        <f t="shared" si="1"/>
        <v>-3.3333333333333333E-2</v>
      </c>
      <c r="F8" s="2">
        <f>SUMIFS(Financials[Costs],Financials[Month],A8,Financials[scenario],"Budget")</f>
        <v>9500</v>
      </c>
      <c r="G8" s="9">
        <f>SUMIFS(Financials[Costs],Financials[Month],A8,Financials[scenario],"Actual")</f>
        <v>9800</v>
      </c>
      <c r="H8" s="12">
        <f t="shared" si="2"/>
        <v>300</v>
      </c>
      <c r="I8" s="3">
        <f t="shared" si="3"/>
        <v>3.1578947368421054E-2</v>
      </c>
    </row>
    <row r="9" spans="1:13">
      <c r="A9" s="2" t="s">
        <v>28</v>
      </c>
      <c r="B9" s="2">
        <f>SUMIFS(Financials[Revenue],Financials[Month],A9,Financials[scenario],"Budget")</f>
        <v>14500</v>
      </c>
      <c r="C9" s="2">
        <f>SUMIFS(Financials[Revenue],Financials[Month],A9,Financials[scenario],"actual")</f>
        <v>15500</v>
      </c>
      <c r="D9" s="2">
        <f t="shared" si="0"/>
        <v>1000</v>
      </c>
      <c r="E9" s="3">
        <f t="shared" si="1"/>
        <v>6.8965517241379309E-2</v>
      </c>
      <c r="F9" s="2">
        <f>SUMIFS(Financials[Costs],Financials[Month],A9,Financials[scenario],"Budget")</f>
        <v>9200</v>
      </c>
      <c r="G9" s="9">
        <f>SUMIFS(Financials[Costs],Financials[Month],A9,Financials[scenario],"Actual")</f>
        <v>9000</v>
      </c>
      <c r="H9" s="12">
        <f t="shared" si="2"/>
        <v>-200</v>
      </c>
      <c r="I9" s="3">
        <f t="shared" si="3"/>
        <v>-2.1739130434782608E-2</v>
      </c>
    </row>
    <row r="10" spans="1:13">
      <c r="A10" s="2" t="s">
        <v>29</v>
      </c>
      <c r="B10" s="2">
        <f>SUMIFS(Financials[Revenue],Financials[Month],A10,Financials[scenario],"Budget")</f>
        <v>16000</v>
      </c>
      <c r="C10" s="2">
        <f>SUMIFS(Financials[Revenue],Financials[Month],A10,Financials[scenario],"actual")</f>
        <v>17000</v>
      </c>
      <c r="D10" s="2">
        <f t="shared" si="0"/>
        <v>1000</v>
      </c>
      <c r="E10" s="3">
        <f t="shared" si="1"/>
        <v>6.25E-2</v>
      </c>
      <c r="F10" s="2">
        <f>SUMIFS(Financials[Costs],Financials[Month],A10,Financials[scenario],"Budget")</f>
        <v>10000</v>
      </c>
      <c r="G10" s="9">
        <f>SUMIFS(Financials[Costs],Financials[Month],A10,Financials[scenario],"Actual")</f>
        <v>10500</v>
      </c>
      <c r="H10" s="12">
        <f t="shared" si="2"/>
        <v>500</v>
      </c>
      <c r="I10" s="3">
        <f t="shared" si="3"/>
        <v>0.05</v>
      </c>
    </row>
    <row r="11" spans="1:13">
      <c r="A11" s="2" t="s">
        <v>30</v>
      </c>
      <c r="B11" s="2">
        <f>SUMIFS(Financials[Revenue],Financials[Month],A11,Financials[scenario],"Budget")</f>
        <v>17000</v>
      </c>
      <c r="C11" s="2">
        <f>SUMIFS(Financials[Revenue],Financials[Month],A11,Financials[scenario],"actual")</f>
        <v>16500</v>
      </c>
      <c r="D11" s="2">
        <f t="shared" si="0"/>
        <v>-500</v>
      </c>
      <c r="E11" s="3">
        <f t="shared" si="1"/>
        <v>-2.9411764705882353E-2</v>
      </c>
      <c r="F11" s="2">
        <f>SUMIFS(Financials[Costs],Financials[Month],A11,Financials[scenario],"Budget")</f>
        <v>10500</v>
      </c>
      <c r="G11" s="9">
        <f>SUMIFS(Financials[Costs],Financials[Month],A11,Financials[scenario],"Actual")</f>
        <v>10800</v>
      </c>
      <c r="H11" s="12">
        <f t="shared" si="2"/>
        <v>300</v>
      </c>
      <c r="I11" s="3">
        <f t="shared" si="3"/>
        <v>2.8571428571428571E-2</v>
      </c>
    </row>
    <row r="12" spans="1:13">
      <c r="A12" s="2" t="s">
        <v>31</v>
      </c>
      <c r="B12" s="2">
        <f>SUMIFS(Financials[Revenue],Financials[Month],A12,Financials[scenario],"Budget")</f>
        <v>18000</v>
      </c>
      <c r="C12" s="2">
        <f>SUMIFS(Financials[Revenue],Financials[Month],A12,Financials[scenario],"actual")</f>
        <v>19000</v>
      </c>
      <c r="D12" s="2">
        <f t="shared" si="0"/>
        <v>1000</v>
      </c>
      <c r="E12" s="3">
        <f t="shared" si="1"/>
        <v>5.5555555555555552E-2</v>
      </c>
      <c r="F12" s="2">
        <f>SUMIFS(Financials[Costs],Financials[Month],A12,Financials[scenario],"Budget")</f>
        <v>11000</v>
      </c>
      <c r="G12" s="9">
        <f>SUMIFS(Financials[Costs],Financials[Month],A12,Financials[scenario],"Actual")</f>
        <v>11500</v>
      </c>
      <c r="H12" s="12">
        <f t="shared" si="2"/>
        <v>500</v>
      </c>
      <c r="I12" s="3">
        <f t="shared" si="3"/>
        <v>4.5454545454545456E-2</v>
      </c>
    </row>
    <row r="13" spans="1:13">
      <c r="A13" s="2" t="s">
        <v>32</v>
      </c>
      <c r="B13" s="2">
        <f>SUMIFS(Financials[Revenue],Financials[Month],A13,Financials[scenario],"Budget")</f>
        <v>20000</v>
      </c>
      <c r="C13" s="2">
        <f>SUMIFS(Financials[Revenue],Financials[Month],A13,Financials[scenario],"actual")</f>
        <v>21500</v>
      </c>
      <c r="D13" s="2">
        <f t="shared" si="0"/>
        <v>1500</v>
      </c>
      <c r="E13" s="3">
        <f t="shared" si="1"/>
        <v>7.4999999999999997E-2</v>
      </c>
      <c r="F13" s="2">
        <f>SUMIFS(Financials[Costs],Financials[Month],A13,Financials[scenario],"Budget")</f>
        <v>12500</v>
      </c>
      <c r="G13" s="9">
        <f>SUMIFS(Financials[Costs],Financials[Month],A13,Financials[scenario],"Actual")</f>
        <v>13000</v>
      </c>
      <c r="H13" s="12">
        <f t="shared" si="2"/>
        <v>500</v>
      </c>
      <c r="I13" s="3">
        <f t="shared" si="3"/>
        <v>0.04</v>
      </c>
    </row>
    <row r="14" spans="1:13">
      <c r="A14" s="11" t="s">
        <v>39</v>
      </c>
      <c r="B14" s="11">
        <f>SUM(B2:B13)</f>
        <v>172500</v>
      </c>
      <c r="C14" s="11">
        <f>SUM(C2:C13)</f>
        <v>177000</v>
      </c>
      <c r="D14" s="11">
        <f t="shared" si="0"/>
        <v>4500</v>
      </c>
      <c r="E14" s="6">
        <f t="shared" si="1"/>
        <v>2.6086956521739129E-2</v>
      </c>
      <c r="F14" s="11">
        <f>SUM(F2:F13)</f>
        <v>110900</v>
      </c>
      <c r="G14" s="10">
        <f>SUM(G2:G13)</f>
        <v>114100</v>
      </c>
      <c r="H14" s="13">
        <f t="shared" si="2"/>
        <v>3200</v>
      </c>
      <c r="I14" s="6">
        <f t="shared" si="3"/>
        <v>2.8854824165915238E-2</v>
      </c>
    </row>
    <row r="15" spans="1:13">
      <c r="A15" s="4" t="s">
        <v>40</v>
      </c>
      <c r="B15" s="2">
        <f>D14-H14</f>
        <v>1300</v>
      </c>
    </row>
    <row r="17" spans="1:5" ht="21">
      <c r="A17" s="7" t="s">
        <v>41</v>
      </c>
      <c r="B17" s="8"/>
      <c r="C17" s="8"/>
      <c r="D17" s="8"/>
      <c r="E17" s="8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5F5099-827A-47FB-924C-933A9C0302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 (2)</vt:lpstr>
      <vt:lpstr>Budget</vt:lpstr>
      <vt:lpstr>Actual (2)</vt:lpstr>
      <vt:lpstr>Actual</vt:lpstr>
      <vt:lpstr>Financials</vt:lpstr>
      <vt:lpstr>Variance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edinguele</dc:creator>
  <cp:lastModifiedBy>alain edinguele</cp:lastModifiedBy>
  <dcterms:created xsi:type="dcterms:W3CDTF">2026-10-09T10:55:48Z</dcterms:created>
  <dcterms:modified xsi:type="dcterms:W3CDTF">2026-10-09T12:29:30Z</dcterms:modified>
</cp:coreProperties>
</file>